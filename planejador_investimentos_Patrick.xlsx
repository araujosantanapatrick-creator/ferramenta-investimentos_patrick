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Apoio" sheetId="2" state="visible" r:id="rId2"/>
  </sheets>
  <definedNames>
    <definedName name="salario">'Simulador'!$B$4</definedName>
    <definedName name="aporte">'Simulador'!$B$5</definedName>
    <definedName name="taxa_mensal">'Simulador'!$B$6</definedName>
    <definedName name="anos">'Simulador'!$B$7</definedName>
    <definedName name="perfil">'Simulador'!$B$8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0" fillId="0" borderId="1" pivotButton="0" quotePrefix="0" xfId="0"/>
    <xf numFmtId="164" fontId="0" fillId="4" borderId="1" pivotButton="0" quotePrefix="0" xfId="0"/>
    <xf numFmtId="164" fontId="0" fillId="5" borderId="1" pivotButton="0" quotePrefix="0" xfId="0"/>
    <xf numFmtId="10" fontId="0" fillId="4" borderId="1" pivotButton="0" quotePrefix="0" xfId="0"/>
    <xf numFmtId="1" fontId="0" fillId="4" borderId="1" pivotButton="0" quotePrefix="0" xfId="0"/>
    <xf numFmtId="0" fontId="0" fillId="4" borderId="1" pivotButton="0" quotePrefix="0" xfId="0"/>
    <xf numFmtId="0" fontId="2" fillId="6" borderId="1" pivotButton="0" quotePrefix="0" xfId="0"/>
    <xf numFmtId="165" fontId="0" fillId="5" borderId="1" pivotButton="0" quotePrefix="0" xfId="0"/>
    <xf numFmtId="0" fontId="2" fillId="7" borderId="2" pivotButton="0" quotePrefix="0" xfId="0"/>
    <xf numFmtId="165" fontId="2" fillId="7" borderId="2" pivotButton="0" quotePrefix="0" xfId="0"/>
    <xf numFmtId="164" fontId="2" fillId="7" borderId="2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4" customWidth="1" min="4" max="4"/>
    <col width="20" customWidth="1" min="5" max="5"/>
    <col width="4" customWidth="1" min="6" max="6"/>
  </cols>
  <sheetData>
    <row r="1">
      <c r="A1" s="1" t="inlineStr">
        <is>
          <t>PLANEJADOR DE INVESTIMENTOS</t>
        </is>
      </c>
    </row>
    <row r="3">
      <c r="A3" s="2" t="inlineStr">
        <is>
          <t>Dados</t>
        </is>
      </c>
      <c r="D3" s="2" t="inlineStr">
        <is>
          <t>Resultado</t>
        </is>
      </c>
    </row>
    <row r="4">
      <c r="A4" s="3" t="inlineStr">
        <is>
          <t>Salário mensal</t>
        </is>
      </c>
      <c r="B4" s="4" t="n">
        <v>5000</v>
      </c>
      <c r="D4" s="3" t="inlineStr">
        <is>
          <t>Patrimônio acumulado</t>
        </is>
      </c>
      <c r="E4" s="5">
        <f>FV(taxa_mensal,anos*12,-aporte,0,0)</f>
        <v/>
      </c>
    </row>
    <row r="5">
      <c r="A5" s="3" t="inlineStr">
        <is>
          <t>Aporte mensal</t>
        </is>
      </c>
      <c r="B5" s="5">
        <f>B4*30%</f>
        <v/>
      </c>
      <c r="D5" s="3" t="inlineStr">
        <is>
          <t>Dividendos por mês</t>
        </is>
      </c>
      <c r="E5" s="5">
        <f>E4*taxa_mensal</f>
        <v/>
      </c>
    </row>
    <row r="6">
      <c r="A6" s="3" t="inlineStr">
        <is>
          <t>Rendimento mensal</t>
        </is>
      </c>
      <c r="B6" s="6" t="n">
        <v>0.008</v>
      </c>
      <c r="D6" s="3" t="inlineStr">
        <is>
          <t>Total investido</t>
        </is>
      </c>
      <c r="E6" s="5">
        <f>aporte*anos*12</f>
        <v/>
      </c>
    </row>
    <row r="7">
      <c r="A7" s="3" t="inlineStr">
        <is>
          <t>Prazo (anos)</t>
        </is>
      </c>
      <c r="B7" s="7" t="n">
        <v>10</v>
      </c>
      <c r="D7" s="3" t="inlineStr">
        <is>
          <t>Rendimento acumulado</t>
        </is>
      </c>
      <c r="E7" s="5">
        <f>E4-E6</f>
        <v/>
      </c>
    </row>
    <row r="8">
      <c r="A8" s="3" t="inlineStr">
        <is>
          <t>Perfil</t>
        </is>
      </c>
      <c r="B8" s="8" t="inlineStr">
        <is>
          <t>Moderado</t>
        </is>
      </c>
    </row>
    <row r="11">
      <c r="A11" s="2" t="inlineStr">
        <is>
          <t>Projeção</t>
        </is>
      </c>
    </row>
    <row r="12">
      <c r="A12" s="9" t="inlineStr">
        <is>
          <t>Anos</t>
        </is>
      </c>
      <c r="B12" s="9" t="inlineStr">
        <is>
          <t>Patrimônio</t>
        </is>
      </c>
      <c r="C12" s="9" t="inlineStr">
        <is>
          <t>Total investido</t>
        </is>
      </c>
      <c r="D12" s="9" t="inlineStr">
        <is>
          <t>Rendimento</t>
        </is>
      </c>
      <c r="E12" s="9" t="inlineStr">
        <is>
          <t>Dividendos/mês</t>
        </is>
      </c>
    </row>
    <row r="13">
      <c r="A13" s="3" t="n">
        <v>2</v>
      </c>
      <c r="B13" s="5">
        <f>FV(taxa_mensal,A13*12,-aporte,0,0)</f>
        <v/>
      </c>
      <c r="C13" s="5">
        <f>aporte*A13*12</f>
        <v/>
      </c>
      <c r="D13" s="5">
        <f>B13-C13</f>
        <v/>
      </c>
      <c r="E13" s="5">
        <f>B13*taxa_mensal</f>
        <v/>
      </c>
    </row>
    <row r="14">
      <c r="A14" s="3" t="n">
        <v>5</v>
      </c>
      <c r="B14" s="5">
        <f>FV(taxa_mensal,A14*12,-aporte,0,0)</f>
        <v/>
      </c>
      <c r="C14" s="5">
        <f>aporte*A14*12</f>
        <v/>
      </c>
      <c r="D14" s="5">
        <f>B14-C14</f>
        <v/>
      </c>
      <c r="E14" s="5">
        <f>B14*taxa_mensal</f>
        <v/>
      </c>
    </row>
    <row r="15">
      <c r="A15" s="3" t="n">
        <v>10</v>
      </c>
      <c r="B15" s="5">
        <f>FV(taxa_mensal,A15*12,-aporte,0,0)</f>
        <v/>
      </c>
      <c r="C15" s="5">
        <f>aporte*A15*12</f>
        <v/>
      </c>
      <c r="D15" s="5">
        <f>B15-C15</f>
        <v/>
      </c>
      <c r="E15" s="5">
        <f>B15*taxa_mensal</f>
        <v/>
      </c>
    </row>
    <row r="16">
      <c r="A16" s="3" t="n">
        <v>20</v>
      </c>
      <c r="B16" s="5">
        <f>FV(taxa_mensal,A16*12,-aporte,0,0)</f>
        <v/>
      </c>
      <c r="C16" s="5">
        <f>aporte*A16*12</f>
        <v/>
      </c>
      <c r="D16" s="5">
        <f>B16-C16</f>
        <v/>
      </c>
      <c r="E16" s="5">
        <f>B16*taxa_mensal</f>
        <v/>
      </c>
    </row>
    <row r="17">
      <c r="A17" s="3" t="n">
        <v>30</v>
      </c>
      <c r="B17" s="5">
        <f>FV(taxa_mensal,A17*12,-aporte,0,0)</f>
        <v/>
      </c>
      <c r="C17" s="5">
        <f>aporte*A17*12</f>
        <v/>
      </c>
      <c r="D17" s="5">
        <f>B17-C17</f>
        <v/>
      </c>
      <c r="E17" s="5">
        <f>B17*taxa_mensal</f>
        <v/>
      </c>
    </row>
    <row r="20">
      <c r="A20" s="2" t="inlineStr">
        <is>
          <t>Distribuição do aporte</t>
        </is>
      </c>
    </row>
    <row r="21">
      <c r="A21" s="9" t="inlineStr">
        <is>
          <t>Tipo de FII</t>
        </is>
      </c>
      <c r="B21" s="9" t="inlineStr">
        <is>
          <t>%</t>
        </is>
      </c>
      <c r="C21" s="9" t="inlineStr">
        <is>
          <t>Valor mensal</t>
        </is>
      </c>
    </row>
    <row r="22">
      <c r="A22" s="3" t="inlineStr">
        <is>
          <t>Tijolo</t>
        </is>
      </c>
      <c r="B22" s="10">
        <f>VLOOKUP(perfil&amp;"|"&amp;A22,Apoio!$D$3:$E$20,2,FALSE)</f>
        <v/>
      </c>
      <c r="C22" s="5">
        <f>aporte*B22</f>
        <v/>
      </c>
    </row>
    <row r="23">
      <c r="A23" s="3" t="inlineStr">
        <is>
          <t>Papel</t>
        </is>
      </c>
      <c r="B23" s="10">
        <f>VLOOKUP(perfil&amp;"|"&amp;A23,Apoio!$D$3:$E$20,2,FALSE)</f>
        <v/>
      </c>
      <c r="C23" s="5">
        <f>aporte*B23</f>
        <v/>
      </c>
    </row>
    <row r="24">
      <c r="A24" s="3" t="inlineStr">
        <is>
          <t>Híbrido</t>
        </is>
      </c>
      <c r="B24" s="10">
        <f>VLOOKUP(perfil&amp;"|"&amp;A24,Apoio!$D$3:$E$20,2,FALSE)</f>
        <v/>
      </c>
      <c r="C24" s="5">
        <f>aporte*B24</f>
        <v/>
      </c>
    </row>
    <row r="25">
      <c r="A25" s="3" t="inlineStr">
        <is>
          <t>FOF</t>
        </is>
      </c>
      <c r="B25" s="10">
        <f>VLOOKUP(perfil&amp;"|"&amp;A25,Apoio!$D$3:$E$20,2,FALSE)</f>
        <v/>
      </c>
      <c r="C25" s="5">
        <f>aporte*B25</f>
        <v/>
      </c>
    </row>
    <row r="26">
      <c r="A26" s="3" t="inlineStr">
        <is>
          <t>Desenvolvimento</t>
        </is>
      </c>
      <c r="B26" s="10">
        <f>VLOOKUP(perfil&amp;"|"&amp;A26,Apoio!$D$3:$E$20,2,FALSE)</f>
        <v/>
      </c>
      <c r="C26" s="5">
        <f>aporte*B26</f>
        <v/>
      </c>
    </row>
    <row r="27">
      <c r="A27" s="3" t="inlineStr">
        <is>
          <t>Agro</t>
        </is>
      </c>
      <c r="B27" s="10">
        <f>VLOOKUP(perfil&amp;"|"&amp;A27,Apoio!$D$3:$E$20,2,FALSE)</f>
        <v/>
      </c>
      <c r="C27" s="5">
        <f>aporte*B27</f>
        <v/>
      </c>
    </row>
    <row r="28">
      <c r="A28" s="11" t="inlineStr">
        <is>
          <t>Total</t>
        </is>
      </c>
      <c r="B28" s="12">
        <f>SUM(B22:B27)</f>
        <v/>
      </c>
      <c r="C28" s="13">
        <f>SUM(C22:C27)</f>
        <v/>
      </c>
    </row>
  </sheetData>
  <mergeCells count="1">
    <mergeCell ref="A1:F1"/>
  </mergeCells>
  <dataValidations count="2">
    <dataValidation sqref="B8" showDropDown="0" showInputMessage="0" showErrorMessage="0" allowBlank="0" type="list">
      <formula1>=Apoio!$A$3:$A$5</formula1>
    </dataValidation>
    <dataValidation sqref="B7" showDropDown="0" showInputMessage="0" showErrorMessage="0" allowBlank="0" type="whole" operator="between">
      <formula1>2</formula1>
      <formula2>30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5" customWidth="1" min="4" max="4"/>
    <col width="12" customWidth="1" min="5" max="5"/>
  </cols>
  <sheetData>
    <row r="1">
      <c r="A1" s="14" t="inlineStr">
        <is>
          <t>Perfis</t>
        </is>
      </c>
      <c r="D1" s="2" t="inlineStr">
        <is>
          <t>Chave</t>
        </is>
      </c>
      <c r="E1" s="2" t="inlineStr">
        <is>
          <t>%</t>
        </is>
      </c>
    </row>
    <row r="2">
      <c r="A2" s="2" t="inlineStr">
        <is>
          <t>Perfil</t>
        </is>
      </c>
      <c r="B2" s="2" t="inlineStr">
        <is>
          <t>Descrição</t>
        </is>
      </c>
    </row>
    <row r="3">
      <c r="A3" s="3" t="inlineStr">
        <is>
          <t>Conservador</t>
        </is>
      </c>
      <c r="B3" s="3" t="inlineStr">
        <is>
          <t>Maior concentração em fundos de menor volatilidade.</t>
        </is>
      </c>
      <c r="D3" t="inlineStr">
        <is>
          <t>Conservador|Tijolo</t>
        </is>
      </c>
      <c r="E3" s="15" t="n">
        <v>0.3</v>
      </c>
    </row>
    <row r="4">
      <c r="A4" s="3" t="inlineStr">
        <is>
          <t>Moderado</t>
        </is>
      </c>
      <c r="B4" s="3" t="inlineStr">
        <is>
          <t>Distribuição equilibrada.</t>
        </is>
      </c>
      <c r="D4" t="inlineStr">
        <is>
          <t>Conservador|Papel</t>
        </is>
      </c>
      <c r="E4" s="15" t="n">
        <v>0.25</v>
      </c>
    </row>
    <row r="5">
      <c r="A5" s="3" t="inlineStr">
        <is>
          <t>Arrojado</t>
        </is>
      </c>
      <c r="B5" s="3" t="inlineStr">
        <is>
          <t>Maior exposição a estratégias de crescimento.</t>
        </is>
      </c>
      <c r="D5" t="inlineStr">
        <is>
          <t>Conservador|Híbrido</t>
        </is>
      </c>
      <c r="E5" s="15" t="n">
        <v>0.2</v>
      </c>
    </row>
    <row r="6">
      <c r="D6" t="inlineStr">
        <is>
          <t>Conservador|FOF</t>
        </is>
      </c>
      <c r="E6" s="15" t="n">
        <v>0.1</v>
      </c>
    </row>
    <row r="7">
      <c r="D7" t="inlineStr">
        <is>
          <t>Conservador|Desenvolvimento</t>
        </is>
      </c>
      <c r="E7" s="15" t="n">
        <v>0.05</v>
      </c>
    </row>
    <row r="8">
      <c r="A8" s="14" t="inlineStr">
        <is>
          <t>Tipos de FII</t>
        </is>
      </c>
      <c r="D8" t="inlineStr">
        <is>
          <t>Conservador|Agro</t>
        </is>
      </c>
      <c r="E8" s="15" t="n">
        <v>0.1</v>
      </c>
    </row>
    <row r="9">
      <c r="A9" t="inlineStr">
        <is>
          <t>Tijolo</t>
        </is>
      </c>
      <c r="D9" t="inlineStr">
        <is>
          <t>Moderado|Tijolo</t>
        </is>
      </c>
      <c r="E9" s="15" t="n">
        <v>0.25</v>
      </c>
    </row>
    <row r="10">
      <c r="A10" t="inlineStr">
        <is>
          <t>Papel</t>
        </is>
      </c>
      <c r="D10" t="inlineStr">
        <is>
          <t>Moderado|Papel</t>
        </is>
      </c>
      <c r="E10" s="15" t="n">
        <v>0.2</v>
      </c>
    </row>
    <row r="11">
      <c r="A11" t="inlineStr">
        <is>
          <t>Híbrido</t>
        </is>
      </c>
      <c r="D11" t="inlineStr">
        <is>
          <t>Moderado|Híbrido</t>
        </is>
      </c>
      <c r="E11" s="15" t="n">
        <v>0.2</v>
      </c>
    </row>
    <row r="12">
      <c r="A12" t="inlineStr">
        <is>
          <t>FOF</t>
        </is>
      </c>
      <c r="D12" t="inlineStr">
        <is>
          <t>Moderado|FOF</t>
        </is>
      </c>
      <c r="E12" s="15" t="n">
        <v>0.1</v>
      </c>
    </row>
    <row r="13">
      <c r="A13" t="inlineStr">
        <is>
          <t>Desenvolvimento</t>
        </is>
      </c>
      <c r="D13" t="inlineStr">
        <is>
          <t>Moderado|Desenvolvimento</t>
        </is>
      </c>
      <c r="E13" s="15" t="n">
        <v>0.1</v>
      </c>
    </row>
    <row r="14">
      <c r="A14" t="inlineStr">
        <is>
          <t>Agro</t>
        </is>
      </c>
      <c r="D14" t="inlineStr">
        <is>
          <t>Moderado|Agro</t>
        </is>
      </c>
      <c r="E14" s="15" t="n">
        <v>0.15</v>
      </c>
    </row>
    <row r="15">
      <c r="D15" t="inlineStr">
        <is>
          <t>Arrojado|Tijolo</t>
        </is>
      </c>
      <c r="E15" s="15" t="n">
        <v>0.15</v>
      </c>
    </row>
    <row r="16">
      <c r="D16" t="inlineStr">
        <is>
          <t>Arrojado|Papel</t>
        </is>
      </c>
      <c r="E16" s="15" t="n">
        <v>0.15</v>
      </c>
    </row>
    <row r="17">
      <c r="A17" s="14" t="inlineStr">
        <is>
          <t>Observação</t>
        </is>
      </c>
      <c r="D17" t="inlineStr">
        <is>
          <t>Arrojado|Híbrido</t>
        </is>
      </c>
      <c r="E17" s="15" t="n">
        <v>0.2</v>
      </c>
    </row>
    <row r="18">
      <c r="A18" t="inlineStr">
        <is>
          <t>Percentuais usados apenas para a simulação.</t>
        </is>
      </c>
      <c r="D18" t="inlineStr">
        <is>
          <t>Arrojado|FOF</t>
        </is>
      </c>
      <c r="E18" s="15" t="n">
        <v>0.1</v>
      </c>
    </row>
    <row r="19">
      <c r="D19" t="inlineStr">
        <is>
          <t>Arrojado|Desenvolvimento</t>
        </is>
      </c>
      <c r="E19" s="15" t="n">
        <v>0.2</v>
      </c>
    </row>
    <row r="20">
      <c r="D20" t="inlineStr">
        <is>
          <t>Arrojado|Agro</t>
        </is>
      </c>
      <c r="E20" s="1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2026-10-06T01:33:49Z</dcterms:created>
  <dcterms:modified xmlns:dcterms="http://purl.org/dc/terms/" xmlns:xsi="http://www.w3.org/2001/XMLSchema-instance" xsi:type="dcterms:W3CDTF">2026-10-06T01:33:49Z</dcterms:modified>
</cp:coreProperties>
</file>